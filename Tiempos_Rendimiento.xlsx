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os Crudos" sheetId="1" state="visible" r:id="rId3"/>
    <sheet name="Comparativa" sheetId="2" state="visible" r:id="rId4"/>
    <sheet name="Graficas" sheetId="3" state="visible" r:id="rId5"/>
    <sheet name="Conclusion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<sst xmlns="http://schemas.openxmlformats.org/spreadsheetml/2006/main" count="200" uniqueCount="61">
  <si>
    <t xml:space="preserve">DATOS CRUDOS — Tiempos de Ejecucion (milisegundos)</t>
  </si>
  <si>
    <t xml:space="preserve">Universidad Da Vinci de Guatemala  |  Estructura de Datos  |  Ing. Brandon Chitay  |  Promedio de 5 ejecuciones con System.nanoTime()</t>
  </si>
  <si>
    <t xml:space="preserve">Algoritmo</t>
  </si>
  <si>
    <t xml:space="preserve">Version</t>
  </si>
  <si>
    <t xml:space="preserve">n</t>
  </si>
  <si>
    <t xml:space="preserve">Tiempo_ms</t>
  </si>
  <si>
    <t xml:space="preserve">A1-Factorial</t>
  </si>
  <si>
    <t xml:space="preserve">Iterativo</t>
  </si>
  <si>
    <t xml:space="preserve">Recursivo</t>
  </si>
  <si>
    <t xml:space="preserve">A2-Fibonacci</t>
  </si>
  <si>
    <t xml:space="preserve">A3-BusquedaLineal</t>
  </si>
  <si>
    <t xml:space="preserve">A4-Burbuja</t>
  </si>
  <si>
    <t xml:space="preserve">COMPARATIVA — Iterativo vs Recursivo por Algoritmo</t>
  </si>
  <si>
    <t xml:space="preserve">A1 — Factorial</t>
  </si>
  <si>
    <t xml:space="preserve">Iterativo (ms)</t>
  </si>
  <si>
    <t xml:space="preserve">Recursivo (ms)</t>
  </si>
  <si>
    <t xml:space="preserve">Diferencia (ms)</t>
  </si>
  <si>
    <t xml:space="preserve">Razon Rec/Iter</t>
  </si>
  <si>
    <t xml:space="preserve">Mas rapido</t>
  </si>
  <si>
    <t xml:space="preserve">A2 — Fibonacci</t>
  </si>
  <si>
    <t xml:space="preserve">A3 — Busqueda Lineal</t>
  </si>
  <si>
    <t xml:space="preserve">A4 — Burbuja</t>
  </si>
  <si>
    <t xml:space="preserve">GRAFICAS DE TENDENCIA — Tiempo de Ejecucion vs Tamano de Entrada</t>
  </si>
  <si>
    <t xml:space="preserve">CONCLUSIONES — Big-O Experimental vs Teorico</t>
  </si>
  <si>
    <t xml:space="preserve">Algoritmos implementados en Java con medicion System.nanoTime() — Promedio de 5 ejecuciones</t>
  </si>
  <si>
    <t xml:space="preserve">Big-O Medido</t>
  </si>
  <si>
    <t xml:space="preserve">Big-O Teorico</t>
  </si>
  <si>
    <t xml:space="preserve">Coincide?</t>
  </si>
  <si>
    <t xml:space="preserve">Observacion</t>
  </si>
  <si>
    <t xml:space="preserve">A1 - Factorial</t>
  </si>
  <si>
    <t xml:space="preserve">O(n)</t>
  </si>
  <si>
    <t xml:space="preserve">SI</t>
  </si>
  <si>
    <t xml:space="preserve">Curva lineal confirmada: tiempos crecen proporcionalmente a n</t>
  </si>
  <si>
    <t xml:space="preserve">Lineal con overhead de stack minimo dado que n &lt;= 20</t>
  </si>
  <si>
    <t xml:space="preserve">A2 - Fibonacci</t>
  </si>
  <si>
    <t xml:space="preserve">Tiempo proporcional a n; muy eficiente sin calculos repetidos</t>
  </si>
  <si>
    <t xml:space="preserve">O(2^n)</t>
  </si>
  <si>
    <t xml:space="preserve">Explosion exponencial visible: n=30 tarda ~86ms vs 0.001ms iterativo</t>
  </si>
  <si>
    <t xml:space="preserve">A3 - Busqueda Lineal</t>
  </si>
  <si>
    <t xml:space="preserve">Tiempo proporcional al tamano del arreglo, recorrido completo</t>
  </si>
  <si>
    <t xml:space="preserve">Lineal con overhead constante de llamadas recursivas ~1.85x</t>
  </si>
  <si>
    <t xml:space="preserve">A4 - Burbuja</t>
  </si>
  <si>
    <t xml:space="preserve">O(n^2)</t>
  </si>
  <si>
    <t xml:space="preserve">Parabola clara: de n=100 a n=1000 (x10), tiempo aumenta ~x158</t>
  </si>
  <si>
    <t xml:space="preserve">Identico al iterativo con ~15% overhead de llamadas recursivas</t>
  </si>
  <si>
    <t xml:space="preserve">ANALISIS Y CONCLUSIONES — Respuestas a las Preguntas Guia</t>
  </si>
  <si>
    <t xml:space="preserve">P1</t>
  </si>
  <si>
    <t xml:space="preserve">Por que Fibonacci recursivo es drasticamente mas lento?</t>
  </si>
  <si>
    <t xml:space="preserve">Cada llamada fib(n) genera DOS llamadas adicionales: fib(n-1) y fib(n-2). El arbol de recursion tiene aproximadamente 2^n nodos, recalculando los mismos subproblemas una y otra vez sin guardar resultados (sin memoizacion). Para n=30 se realizan mas de 1,073,741,824 llamadas. Los datos experimentales lo confirman: fib(30) iterativo = 0.001ms vs recursivo = 86ms.</t>
  </si>
  <si>
    <t xml:space="preserve">P2</t>
  </si>
  <si>
    <t xml:space="preserve">Que significa O(n^2)? Como se refleja en Burbuja?</t>
  </si>
  <si>
    <t xml:space="preserve">O(n^2) significa que el tiempo de ejecucion crece al cuadrado del tamano de entrada. En la grafica de Burbuja se observa una curva parabolica: de n=100 (~0.2ms) a n=1000 (~32ms), n crecio x10 pero el tiempo crecio x160, confirmando el patron cuadratico. La linea de tendencia polinomial de grado 2 ajusta perfectamente los datos.</t>
  </si>
  <si>
    <t xml:space="preserve">P3</t>
  </si>
  <si>
    <t xml:space="preserve">Si n se duplica, cuanto aumenta el tiempo para O(n), O(n^2) y O(2^n)?</t>
  </si>
  <si>
    <t xml:space="preserve">O(n): el tiempo se DUPLICA (x2). Ejemplo: Busqueda lineal de n=5000 a n=10000. O(n^2): el tiempo se CUADRUPLICA (x4). Ejemplo: Burbuja duplicando n. O(2^n): el tiempo se ELEVA AL CUADRADO. Para Fibonacci, cada incremento de 1 en n aproximadamente duplica el tiempo total — un crecimiento completamente inmanejable para n grande.</t>
  </si>
  <si>
    <t xml:space="preserve">P4</t>
  </si>
  <si>
    <t xml:space="preserve">Cual es el costo de usar recursion en Java en terminos de memoria (stack)?</t>
  </si>
  <si>
    <t xml:space="preserve">Cada llamada recursiva crea un STACK FRAME que contiene: parametros del metodo, variables locales, direccion de retorno y puntero al frame anterior. Para algoritmos con n grande, esto puede causar StackOverflowError. Java asigna ~512KB de stack por hilo por defecto (-Xss para ajustar). La iteracion no tiene este costo: usa O(1) de memoria adicional.</t>
  </si>
  <si>
    <t xml:space="preserve">P5</t>
  </si>
  <si>
    <t xml:space="preserve">En que situaciones elegirías recursivo sobre iterativo, y viceversa?</t>
  </si>
  <si>
    <t xml:space="preserve">RECURSIVO: problemas naturalmente divisibles (arboles, grafos, divide y venceras como MergeSort, QuickSort), cuando la legibilidad importa mas que la eficiencia, y con n moderado. ITERATIVO: cuando el rendimiento y la memoria son criticos, cuando n puede ser muy grande (riesgo de StackOverflow), o en sistemas embebidos con stack limitado. Para este examen, el iterativo supera al recursivo en todos los algoritmos medidos.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</si>
</sst>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00000"/>
    <numFmt numFmtId="166" formatCode="0.00\x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E8449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2E75B6"/>
      <name val="Arial"/>
      <family val="0"/>
      <charset val="1"/>
    </font>
    <font>
      <b val="true"/>
      <sz val="11"/>
      <color rgb="FFC0392B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1E8449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2E75B6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4495E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  <fill>
      <patternFill patternType="solid">
        <fgColor rgb="FF34495E"/>
        <bgColor rgb="FF1F386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20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1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20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1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78787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1E8449"/>
      <rgbColor rgb="FF003300"/>
      <rgbColor rgb="FF333300"/>
      <rgbColor rgb="FFC0392B"/>
      <rgbColor rgb="FF993366"/>
      <rgbColor rgb="FF333399"/>
      <rgbColor rgb="FF34495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A1 - Factorial: Tiempo vs n (Big-O: O(n))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Graficas!U4</c:f>
              <c:strCache>
                <c:ptCount val="1"/>
                <c:pt idx="0">
                  <c:v>Iterativo</c:v>
                </c:pt>
              </c:strCache>
            </c:strRef>
          </c:tx>
          <c:spPr>
            <a:solidFill>
              <a:srgbClr val="2e75b6"/>
            </a:solidFill>
            <a:ln w="20160">
              <a:solidFill>
                <a:srgbClr val="2e75b6"/>
              </a:solidFill>
              <a:round/>
            </a:ln>
          </c:spPr>
          <c:marker>
            <c:symbol val="circle"/>
            <c:size val="7"/>
            <c:spPr>
              <a:solidFill>
                <a:srgbClr val="2e75b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poly"/>
            <c:order val="2"/>
            <c:forward val="0"/>
            <c:backward val="0"/>
            <c:dispRSqr val="1"/>
            <c:dispEq val="1"/>
          </c:trendline>
          <c:xVal>
            <c:numRef>
              <c:f>Graficas!$T$5:$T$8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</c:numCache>
            </c:numRef>
          </c:xVal>
          <c:yVal>
            <c:numRef>
              <c:f>Graficas!$U$5:$U$8</c:f>
              <c:numCache>
                <c:formatCode>General</c:formatCode>
                <c:ptCount val="4"/>
                <c:pt idx="0">
                  <c:v>0.0008528</c:v>
                </c:pt>
                <c:pt idx="1">
                  <c:v>0.0004816</c:v>
                </c:pt>
                <c:pt idx="2">
                  <c:v>0.0006132</c:v>
                </c:pt>
                <c:pt idx="3">
                  <c:v>0.0007574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Graficas!V4</c:f>
              <c:strCache>
                <c:ptCount val="1"/>
                <c:pt idx="0">
                  <c:v>Recursivo</c:v>
                </c:pt>
              </c:strCache>
            </c:strRef>
          </c:tx>
          <c:spPr>
            <a:solidFill>
              <a:srgbClr val="c0392b"/>
            </a:solidFill>
            <a:ln w="20160">
              <a:solidFill>
                <a:srgbClr val="c0392b"/>
              </a:solidFill>
              <a:round/>
            </a:ln>
          </c:spPr>
          <c:marker>
            <c:symbol val="triangle"/>
            <c:size val="7"/>
            <c:spPr>
              <a:solidFill>
                <a:srgbClr val="c0392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poly"/>
            <c:order val="2"/>
            <c:forward val="0"/>
            <c:backward val="0"/>
            <c:dispRSqr val="1"/>
            <c:dispEq val="1"/>
          </c:trendline>
          <c:xVal>
            <c:numRef>
              <c:f>Graficas!$T$5:$T$8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</c:numCache>
            </c:numRef>
          </c:xVal>
          <c:yVal>
            <c:numRef>
              <c:f>Graficas!$V$5:$V$8</c:f>
              <c:numCache>
                <c:formatCode>General</c:formatCode>
                <c:ptCount val="4"/>
                <c:pt idx="0">
                  <c:v>0.000571</c:v>
                </c:pt>
                <c:pt idx="1">
                  <c:v>0.0006066</c:v>
                </c:pt>
                <c:pt idx="2">
                  <c:v>0.0007422</c:v>
                </c:pt>
                <c:pt idx="3">
                  <c:v>0.001086</c:v>
                </c:pt>
              </c:numCache>
            </c:numRef>
          </c:yVal>
          <c:smooth val="1"/>
        </c:ser>
        <c:axId val="44725257"/>
        <c:axId val="16687950"/>
      </c:scatterChart>
      <c:valAx>
        <c:axId val="4472525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Tamano de entrada (n)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687950"/>
        <c:crosses val="autoZero"/>
        <c:crossBetween val="midCat"/>
      </c:valAx>
      <c:valAx>
        <c:axId val="1668795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Tiempo de ejecucion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725257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A2 - Fibonacci: Tiempo vs n (Iter O(n) | Rec O(2^n))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Graficas!U12</c:f>
              <c:strCache>
                <c:ptCount val="1"/>
                <c:pt idx="0">
                  <c:v>Iterativo</c:v>
                </c:pt>
              </c:strCache>
            </c:strRef>
          </c:tx>
          <c:spPr>
            <a:solidFill>
              <a:srgbClr val="2e75b6"/>
            </a:solidFill>
            <a:ln w="20160">
              <a:solidFill>
                <a:srgbClr val="2e75b6"/>
              </a:solidFill>
              <a:round/>
            </a:ln>
          </c:spPr>
          <c:marker>
            <c:symbol val="circle"/>
            <c:size val="7"/>
            <c:spPr>
              <a:solidFill>
                <a:srgbClr val="2e75b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poly"/>
            <c:order val="2"/>
            <c:forward val="0"/>
            <c:backward val="0"/>
            <c:dispRSqr val="1"/>
            <c:dispEq val="1"/>
          </c:trendline>
          <c:xVal>
            <c:numRef>
              <c:f>Graficas!$T$13:$T$18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</c:numCache>
            </c:numRef>
          </c:xVal>
          <c:yVal>
            <c:numRef>
              <c:f>Graficas!$U$13:$U$18</c:f>
              <c:numCache>
                <c:formatCode>General</c:formatCode>
                <c:ptCount val="6"/>
                <c:pt idx="0">
                  <c:v>0.000644</c:v>
                </c:pt>
                <c:pt idx="1">
                  <c:v>0.0003356</c:v>
                </c:pt>
                <c:pt idx="2">
                  <c:v>0.0005498</c:v>
                </c:pt>
                <c:pt idx="3">
                  <c:v>0.0006914</c:v>
                </c:pt>
                <c:pt idx="4">
                  <c:v>0.000872</c:v>
                </c:pt>
                <c:pt idx="5">
                  <c:v>0.001086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Graficas!V12</c:f>
              <c:strCache>
                <c:ptCount val="1"/>
                <c:pt idx="0">
                  <c:v>Recursivo</c:v>
                </c:pt>
              </c:strCache>
            </c:strRef>
          </c:tx>
          <c:spPr>
            <a:solidFill>
              <a:srgbClr val="c0392b"/>
            </a:solidFill>
            <a:ln w="20160">
              <a:solidFill>
                <a:srgbClr val="c0392b"/>
              </a:solidFill>
              <a:round/>
            </a:ln>
          </c:spPr>
          <c:marker>
            <c:symbol val="triangle"/>
            <c:size val="7"/>
            <c:spPr>
              <a:solidFill>
                <a:srgbClr val="c0392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poly"/>
            <c:order val="2"/>
            <c:forward val="0"/>
            <c:backward val="0"/>
            <c:dispRSqr val="1"/>
            <c:dispEq val="1"/>
          </c:trendline>
          <c:xVal>
            <c:numRef>
              <c:f>Graficas!$T$13:$T$18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</c:numCache>
            </c:numRef>
          </c:xVal>
          <c:yVal>
            <c:numRef>
              <c:f>Graficas!$V$13:$V$18</c:f>
              <c:numCache>
                <c:formatCode>General</c:formatCode>
                <c:ptCount val="6"/>
                <c:pt idx="0">
                  <c:v>0.0008186</c:v>
                </c:pt>
                <c:pt idx="1">
                  <c:v>0.0051522</c:v>
                </c:pt>
                <c:pt idx="2">
                  <c:v>0.0571674</c:v>
                </c:pt>
                <c:pt idx="3">
                  <c:v>0.6381486</c:v>
                </c:pt>
                <c:pt idx="4">
                  <c:v>7.2163752</c:v>
                </c:pt>
                <c:pt idx="5">
                  <c:v>86.406799</c:v>
                </c:pt>
              </c:numCache>
            </c:numRef>
          </c:yVal>
          <c:smooth val="1"/>
        </c:ser>
        <c:axId val="49137808"/>
        <c:axId val="50751628"/>
      </c:scatterChart>
      <c:valAx>
        <c:axId val="49137808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Tamano de entrada (n)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751628"/>
        <c:crosses val="autoZero"/>
        <c:crossBetween val="midCat"/>
      </c:valAx>
      <c:valAx>
        <c:axId val="5075162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Tiempo de ejecucion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137808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A3 - Busqueda Lineal: Tiempo vs n (Big-O: O(n))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Graficas!U22</c:f>
              <c:strCache>
                <c:ptCount val="1"/>
                <c:pt idx="0">
                  <c:v>Iterativo</c:v>
                </c:pt>
              </c:strCache>
            </c:strRef>
          </c:tx>
          <c:spPr>
            <a:solidFill>
              <a:srgbClr val="2e75b6"/>
            </a:solidFill>
            <a:ln w="20160">
              <a:solidFill>
                <a:srgbClr val="2e75b6"/>
              </a:solidFill>
              <a:round/>
            </a:ln>
          </c:spPr>
          <c:marker>
            <c:symbol val="circle"/>
            <c:size val="7"/>
            <c:spPr>
              <a:solidFill>
                <a:srgbClr val="2e75b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poly"/>
            <c:order val="2"/>
            <c:forward val="0"/>
            <c:backward val="0"/>
            <c:dispRSqr val="1"/>
            <c:dispEq val="1"/>
          </c:trendline>
          <c:xVal>
            <c:numRef>
              <c:f>Graficas!$T$23:$T$27</c:f>
              <c:numCache>
                <c:formatCode>General</c:formatCode>
                <c:ptCount val="5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</c:numCache>
            </c:numRef>
          </c:xVal>
          <c:yVal>
            <c:numRef>
              <c:f>Graficas!$U$23:$U$27</c:f>
              <c:numCache>
                <c:formatCode>General</c:formatCode>
                <c:ptCount val="5"/>
                <c:pt idx="0">
                  <c:v>0.0035474</c:v>
                </c:pt>
                <c:pt idx="1">
                  <c:v>0.0128214</c:v>
                </c:pt>
                <c:pt idx="2">
                  <c:v>0.0226112</c:v>
                </c:pt>
                <c:pt idx="3">
                  <c:v>0.119857</c:v>
                </c:pt>
                <c:pt idx="4">
                  <c:v>0.2392636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Graficas!V22</c:f>
              <c:strCache>
                <c:ptCount val="1"/>
                <c:pt idx="0">
                  <c:v>Recursivo</c:v>
                </c:pt>
              </c:strCache>
            </c:strRef>
          </c:tx>
          <c:spPr>
            <a:solidFill>
              <a:srgbClr val="c0392b"/>
            </a:solidFill>
            <a:ln w="20160">
              <a:solidFill>
                <a:srgbClr val="c0392b"/>
              </a:solidFill>
              <a:round/>
            </a:ln>
          </c:spPr>
          <c:marker>
            <c:symbol val="triangle"/>
            <c:size val="7"/>
            <c:spPr>
              <a:solidFill>
                <a:srgbClr val="c0392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poly"/>
            <c:order val="2"/>
            <c:forward val="0"/>
            <c:backward val="0"/>
            <c:dispRSqr val="1"/>
            <c:dispEq val="1"/>
          </c:trendline>
          <c:xVal>
            <c:numRef>
              <c:f>Graficas!$T$23:$T$27</c:f>
              <c:numCache>
                <c:formatCode>General</c:formatCode>
                <c:ptCount val="5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</c:numCache>
            </c:numRef>
          </c:xVal>
          <c:yVal>
            <c:numRef>
              <c:f>Graficas!$V$23:$V$27</c:f>
              <c:numCache>
                <c:formatCode>General</c:formatCode>
                <c:ptCount val="5"/>
                <c:pt idx="0">
                  <c:v>0.00656269</c:v>
                </c:pt>
                <c:pt idx="1">
                  <c:v>0.02371959</c:v>
                </c:pt>
                <c:pt idx="2">
                  <c:v>0.04183072</c:v>
                </c:pt>
                <c:pt idx="3">
                  <c:v>0.22173545</c:v>
                </c:pt>
                <c:pt idx="4">
                  <c:v>0.44263766</c:v>
                </c:pt>
              </c:numCache>
            </c:numRef>
          </c:yVal>
          <c:smooth val="1"/>
        </c:ser>
        <c:axId val="35273680"/>
        <c:axId val="19479558"/>
      </c:scatterChart>
      <c:valAx>
        <c:axId val="3527368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Tamano de entrada (n)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479558"/>
        <c:crosses val="autoZero"/>
        <c:crossBetween val="midCat"/>
      </c:valAx>
      <c:valAx>
        <c:axId val="1947955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Tiempo de ejecucion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273680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A4 - Burbuja: Tiempo vs n (Big-O: O(n^2))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Graficas!U32</c:f>
              <c:strCache>
                <c:ptCount val="1"/>
                <c:pt idx="0">
                  <c:v>Iterativo</c:v>
                </c:pt>
              </c:strCache>
            </c:strRef>
          </c:tx>
          <c:spPr>
            <a:solidFill>
              <a:srgbClr val="2e75b6"/>
            </a:solidFill>
            <a:ln w="20160">
              <a:solidFill>
                <a:srgbClr val="2e75b6"/>
              </a:solidFill>
              <a:round/>
            </a:ln>
          </c:spPr>
          <c:marker>
            <c:symbol val="circle"/>
            <c:size val="7"/>
            <c:spPr>
              <a:solidFill>
                <a:srgbClr val="2e75b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poly"/>
            <c:order val="2"/>
            <c:forward val="0"/>
            <c:backward val="0"/>
            <c:dispRSqr val="1"/>
            <c:dispEq val="1"/>
          </c:trendline>
          <c:xVal>
            <c:numRef>
              <c:f>Graficas!$T$33:$T$37</c:f>
              <c:numCache>
                <c:formatCode>General</c:formatCode>
                <c:ptCount val="5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</c:numCache>
            </c:numRef>
          </c:xVal>
          <c:yVal>
            <c:numRef>
              <c:f>Graficas!$U$33:$U$37</c:f>
              <c:numCache>
                <c:formatCode>General</c:formatCode>
                <c:ptCount val="5"/>
                <c:pt idx="0">
                  <c:v>0.2063714</c:v>
                </c:pt>
                <c:pt idx="1">
                  <c:v>6.182889</c:v>
                </c:pt>
                <c:pt idx="2">
                  <c:v>32.5784216</c:v>
                </c:pt>
                <c:pt idx="3">
                  <c:v>854.5909968</c:v>
                </c:pt>
                <c:pt idx="4">
                  <c:v>3511.5184212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Graficas!V32</c:f>
              <c:strCache>
                <c:ptCount val="1"/>
                <c:pt idx="0">
                  <c:v>Recursivo</c:v>
                </c:pt>
              </c:strCache>
            </c:strRef>
          </c:tx>
          <c:spPr>
            <a:solidFill>
              <a:srgbClr val="c0392b"/>
            </a:solidFill>
            <a:ln w="20160">
              <a:solidFill>
                <a:srgbClr val="c0392b"/>
              </a:solidFill>
              <a:round/>
            </a:ln>
          </c:spPr>
          <c:marker>
            <c:symbol val="triangle"/>
            <c:size val="7"/>
            <c:spPr>
              <a:solidFill>
                <a:srgbClr val="c0392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poly"/>
            <c:order val="2"/>
            <c:forward val="0"/>
            <c:backward val="0"/>
            <c:dispRSqr val="1"/>
            <c:dispEq val="1"/>
          </c:trendline>
          <c:xVal>
            <c:numRef>
              <c:f>Graficas!$T$33:$T$37</c:f>
              <c:numCache>
                <c:formatCode>General</c:formatCode>
                <c:ptCount val="5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</c:numCache>
            </c:numRef>
          </c:xVal>
          <c:yVal>
            <c:numRef>
              <c:f>Graficas!$V$33:$V$37</c:f>
              <c:numCache>
                <c:formatCode>General</c:formatCode>
                <c:ptCount val="5"/>
                <c:pt idx="0">
                  <c:v>0.23732711</c:v>
                </c:pt>
                <c:pt idx="1">
                  <c:v>7.11032235</c:v>
                </c:pt>
                <c:pt idx="2">
                  <c:v>37.46518484</c:v>
                </c:pt>
                <c:pt idx="3">
                  <c:v>982.77964632</c:v>
                </c:pt>
                <c:pt idx="4">
                  <c:v>4038.24618438</c:v>
                </c:pt>
              </c:numCache>
            </c:numRef>
          </c:yVal>
          <c:smooth val="1"/>
        </c:ser>
        <c:axId val="58108501"/>
        <c:axId val="25190455"/>
      </c:scatterChart>
      <c:valAx>
        <c:axId val="58108501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Tamano de entrada (n)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190455"/>
        <c:crosses val="autoZero"/>
        <c:crossBetween val="midCat"/>
      </c:valAx>
      <c:valAx>
        <c:axId val="2519045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Tiempo de ejecucion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108501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0</xdr:rowOff>
    </xdr:from>
    <xdr:to>
      <xdr:col>10</xdr:col>
      <xdr:colOff>364680</xdr:colOff>
      <xdr:row>26</xdr:row>
      <xdr:rowOff>107640</xdr:rowOff>
    </xdr:to>
    <xdr:graphicFrame>
      <xdr:nvGraphicFramePr>
        <xdr:cNvPr id="0" name="Chart 1"/>
        <xdr:cNvGraphicFramePr/>
      </xdr:nvGraphicFramePr>
      <xdr:xfrm>
        <a:off x="0" y="590400"/>
        <a:ext cx="647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2</xdr:row>
      <xdr:rowOff>0</xdr:rowOff>
    </xdr:from>
    <xdr:to>
      <xdr:col>19</xdr:col>
      <xdr:colOff>364680</xdr:colOff>
      <xdr:row>26</xdr:row>
      <xdr:rowOff>107640</xdr:rowOff>
    </xdr:to>
    <xdr:graphicFrame>
      <xdr:nvGraphicFramePr>
        <xdr:cNvPr id="1" name="Chart 2"/>
        <xdr:cNvGraphicFramePr/>
      </xdr:nvGraphicFramePr>
      <xdr:xfrm>
        <a:off x="5503680" y="590400"/>
        <a:ext cx="647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21</xdr:row>
      <xdr:rowOff>0</xdr:rowOff>
    </xdr:from>
    <xdr:to>
      <xdr:col>10</xdr:col>
      <xdr:colOff>364680</xdr:colOff>
      <xdr:row>45</xdr:row>
      <xdr:rowOff>107640</xdr:rowOff>
    </xdr:to>
    <xdr:graphicFrame>
      <xdr:nvGraphicFramePr>
        <xdr:cNvPr id="2" name="Chart 3"/>
        <xdr:cNvGraphicFramePr/>
      </xdr:nvGraphicFramePr>
      <xdr:xfrm>
        <a:off x="0" y="4210200"/>
        <a:ext cx="647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21</xdr:row>
      <xdr:rowOff>0</xdr:rowOff>
    </xdr:from>
    <xdr:to>
      <xdr:col>19</xdr:col>
      <xdr:colOff>364680</xdr:colOff>
      <xdr:row>45</xdr:row>
      <xdr:rowOff>107640</xdr:rowOff>
    </xdr:to>
    <xdr:graphicFrame>
      <xdr:nvGraphicFramePr>
        <xdr:cNvPr id="3" name="Chart 4"/>
        <xdr:cNvGraphicFramePr/>
      </xdr:nvGraphicFramePr>
      <xdr:xfrm>
        <a:off x="5503680" y="4210200"/>
        <a:ext cx="647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3"/>
    <col collapsed="false" customWidth="true" hidden="false" outlineLevel="0" max="3" min="3" style="0" width="10"/>
    <col collapsed="false" customWidth="true" hidden="false" outlineLevel="0" max="4" min="4" style="0" width="18"/>
  </cols>
  <sheetData>
    <row r="1" customFormat="false" ht="31.5" hidden="false" customHeight="true" outlineLevel="0" collapsed="false">
      <c r="A1" s="1" t="s">
        <v>0</v>
      </c>
      <c r="B1" s="1"/>
      <c r="C1" s="1"/>
      <c r="D1" s="1"/>
    </row>
    <row r="2" customFormat="false" ht="15.75" hidden="false" customHeight="true" outlineLevel="0" collapsed="false">
      <c r="A2" s="2" t="s">
        <v>1</v>
      </c>
      <c r="B2" s="2"/>
      <c r="C2" s="2"/>
      <c r="D2" s="2"/>
    </row>
    <row r="3" customFormat="false" ht="19.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</row>
    <row r="4" customFormat="false" ht="15.75" hidden="false" customHeight="true" outlineLevel="0" collapsed="false">
      <c r="A4" s="4" t="s">
        <v>6</v>
      </c>
      <c r="B4" s="5" t="s">
        <v>7</v>
      </c>
      <c r="C4" s="5" t="n">
        <v>5</v>
      </c>
      <c r="D4" s="6" t="n">
        <v>0.0008528</v>
      </c>
    </row>
    <row r="5" customFormat="false" ht="15.75" hidden="false" customHeight="true" outlineLevel="0" collapsed="false">
      <c r="A5" s="7" t="s">
        <v>6</v>
      </c>
      <c r="B5" s="8" t="s">
        <v>8</v>
      </c>
      <c r="C5" s="8" t="n">
        <v>5</v>
      </c>
      <c r="D5" s="9" t="n">
        <v>0.000571</v>
      </c>
    </row>
    <row r="6" customFormat="false" ht="15.75" hidden="false" customHeight="true" outlineLevel="0" collapsed="false">
      <c r="A6" s="4" t="s">
        <v>6</v>
      </c>
      <c r="B6" s="5" t="s">
        <v>7</v>
      </c>
      <c r="C6" s="5" t="n">
        <v>10</v>
      </c>
      <c r="D6" s="6" t="n">
        <v>0.0004816</v>
      </c>
    </row>
    <row r="7" customFormat="false" ht="15.75" hidden="false" customHeight="true" outlineLevel="0" collapsed="false">
      <c r="A7" s="7" t="s">
        <v>6</v>
      </c>
      <c r="B7" s="8" t="s">
        <v>8</v>
      </c>
      <c r="C7" s="8" t="n">
        <v>10</v>
      </c>
      <c r="D7" s="9" t="n">
        <v>0.0006066</v>
      </c>
    </row>
    <row r="8" customFormat="false" ht="15.75" hidden="false" customHeight="true" outlineLevel="0" collapsed="false">
      <c r="A8" s="4" t="s">
        <v>6</v>
      </c>
      <c r="B8" s="5" t="s">
        <v>7</v>
      </c>
      <c r="C8" s="5" t="n">
        <v>15</v>
      </c>
      <c r="D8" s="6" t="n">
        <v>0.0006132</v>
      </c>
    </row>
    <row r="9" customFormat="false" ht="15.75" hidden="false" customHeight="true" outlineLevel="0" collapsed="false">
      <c r="A9" s="7" t="s">
        <v>6</v>
      </c>
      <c r="B9" s="8" t="s">
        <v>8</v>
      </c>
      <c r="C9" s="8" t="n">
        <v>15</v>
      </c>
      <c r="D9" s="9" t="n">
        <v>0.0007422</v>
      </c>
    </row>
    <row r="10" customFormat="false" ht="15.75" hidden="false" customHeight="true" outlineLevel="0" collapsed="false">
      <c r="A10" s="4" t="s">
        <v>6</v>
      </c>
      <c r="B10" s="5" t="s">
        <v>7</v>
      </c>
      <c r="C10" s="5" t="n">
        <v>20</v>
      </c>
      <c r="D10" s="6" t="n">
        <v>0.0007574</v>
      </c>
    </row>
    <row r="11" customFormat="false" ht="15.75" hidden="false" customHeight="true" outlineLevel="0" collapsed="false">
      <c r="A11" s="7" t="s">
        <v>6</v>
      </c>
      <c r="B11" s="8" t="s">
        <v>8</v>
      </c>
      <c r="C11" s="8" t="n">
        <v>20</v>
      </c>
      <c r="D11" s="9" t="n">
        <v>0.001086</v>
      </c>
    </row>
    <row r="12" customFormat="false" ht="15.75" hidden="false" customHeight="true" outlineLevel="0" collapsed="false">
      <c r="A12" s="4" t="s">
        <v>9</v>
      </c>
      <c r="B12" s="5" t="s">
        <v>7</v>
      </c>
      <c r="C12" s="5" t="n">
        <v>5</v>
      </c>
      <c r="D12" s="6" t="n">
        <v>0.000644</v>
      </c>
    </row>
    <row r="13" customFormat="false" ht="15.75" hidden="false" customHeight="true" outlineLevel="0" collapsed="false">
      <c r="A13" s="7" t="s">
        <v>9</v>
      </c>
      <c r="B13" s="8" t="s">
        <v>8</v>
      </c>
      <c r="C13" s="8" t="n">
        <v>5</v>
      </c>
      <c r="D13" s="9" t="n">
        <v>0.0008186</v>
      </c>
    </row>
    <row r="14" customFormat="false" ht="15.75" hidden="false" customHeight="true" outlineLevel="0" collapsed="false">
      <c r="A14" s="4" t="s">
        <v>9</v>
      </c>
      <c r="B14" s="5" t="s">
        <v>7</v>
      </c>
      <c r="C14" s="5" t="n">
        <v>10</v>
      </c>
      <c r="D14" s="6" t="n">
        <v>0.0003356</v>
      </c>
    </row>
    <row r="15" customFormat="false" ht="15.75" hidden="false" customHeight="true" outlineLevel="0" collapsed="false">
      <c r="A15" s="7" t="s">
        <v>9</v>
      </c>
      <c r="B15" s="8" t="s">
        <v>8</v>
      </c>
      <c r="C15" s="8" t="n">
        <v>10</v>
      </c>
      <c r="D15" s="9" t="n">
        <v>0.0051522</v>
      </c>
    </row>
    <row r="16" customFormat="false" ht="15.75" hidden="false" customHeight="true" outlineLevel="0" collapsed="false">
      <c r="A16" s="4" t="s">
        <v>9</v>
      </c>
      <c r="B16" s="5" t="s">
        <v>7</v>
      </c>
      <c r="C16" s="5" t="n">
        <v>15</v>
      </c>
      <c r="D16" s="6" t="n">
        <v>0.0005498</v>
      </c>
    </row>
    <row r="17" customFormat="false" ht="15.75" hidden="false" customHeight="true" outlineLevel="0" collapsed="false">
      <c r="A17" s="7" t="s">
        <v>9</v>
      </c>
      <c r="B17" s="8" t="s">
        <v>8</v>
      </c>
      <c r="C17" s="8" t="n">
        <v>15</v>
      </c>
      <c r="D17" s="9" t="n">
        <v>0.0571674</v>
      </c>
    </row>
    <row r="18" customFormat="false" ht="15.75" hidden="false" customHeight="true" outlineLevel="0" collapsed="false">
      <c r="A18" s="4" t="s">
        <v>9</v>
      </c>
      <c r="B18" s="5" t="s">
        <v>7</v>
      </c>
      <c r="C18" s="5" t="n">
        <v>20</v>
      </c>
      <c r="D18" s="6" t="n">
        <v>0.0006914</v>
      </c>
    </row>
    <row r="19" customFormat="false" ht="15.75" hidden="false" customHeight="true" outlineLevel="0" collapsed="false">
      <c r="A19" s="7" t="s">
        <v>9</v>
      </c>
      <c r="B19" s="8" t="s">
        <v>8</v>
      </c>
      <c r="C19" s="8" t="n">
        <v>20</v>
      </c>
      <c r="D19" s="9" t="n">
        <v>0.6381486</v>
      </c>
    </row>
    <row r="20" customFormat="false" ht="15.75" hidden="false" customHeight="true" outlineLevel="0" collapsed="false">
      <c r="A20" s="4" t="s">
        <v>9</v>
      </c>
      <c r="B20" s="5" t="s">
        <v>7</v>
      </c>
      <c r="C20" s="5" t="n">
        <v>25</v>
      </c>
      <c r="D20" s="6" t="n">
        <v>0.000872</v>
      </c>
    </row>
    <row r="21" customFormat="false" ht="15.75" hidden="false" customHeight="true" outlineLevel="0" collapsed="false">
      <c r="A21" s="7" t="s">
        <v>9</v>
      </c>
      <c r="B21" s="8" t="s">
        <v>8</v>
      </c>
      <c r="C21" s="8" t="n">
        <v>25</v>
      </c>
      <c r="D21" s="9" t="n">
        <v>7.2163752</v>
      </c>
    </row>
    <row r="22" customFormat="false" ht="15.75" hidden="false" customHeight="true" outlineLevel="0" collapsed="false">
      <c r="A22" s="4" t="s">
        <v>9</v>
      </c>
      <c r="B22" s="5" t="s">
        <v>7</v>
      </c>
      <c r="C22" s="5" t="n">
        <v>30</v>
      </c>
      <c r="D22" s="6" t="n">
        <v>0.001086</v>
      </c>
    </row>
    <row r="23" customFormat="false" ht="15.75" hidden="false" customHeight="true" outlineLevel="0" collapsed="false">
      <c r="A23" s="7" t="s">
        <v>9</v>
      </c>
      <c r="B23" s="8" t="s">
        <v>8</v>
      </c>
      <c r="C23" s="8" t="n">
        <v>30</v>
      </c>
      <c r="D23" s="9" t="n">
        <v>86.406799</v>
      </c>
    </row>
    <row r="24" customFormat="false" ht="15.75" hidden="false" customHeight="true" outlineLevel="0" collapsed="false">
      <c r="A24" s="4" t="s">
        <v>10</v>
      </c>
      <c r="B24" s="5" t="s">
        <v>7</v>
      </c>
      <c r="C24" s="5" t="n">
        <v>100</v>
      </c>
      <c r="D24" s="6" t="n">
        <v>0.0035474</v>
      </c>
    </row>
    <row r="25" customFormat="false" ht="15.75" hidden="false" customHeight="true" outlineLevel="0" collapsed="false">
      <c r="A25" s="7" t="s">
        <v>10</v>
      </c>
      <c r="B25" s="8" t="s">
        <v>8</v>
      </c>
      <c r="C25" s="8" t="n">
        <v>100</v>
      </c>
      <c r="D25" s="9" t="n">
        <v>0.00656269</v>
      </c>
    </row>
    <row r="26" customFormat="false" ht="15.75" hidden="false" customHeight="true" outlineLevel="0" collapsed="false">
      <c r="A26" s="4" t="s">
        <v>10</v>
      </c>
      <c r="B26" s="5" t="s">
        <v>7</v>
      </c>
      <c r="C26" s="5" t="n">
        <v>500</v>
      </c>
      <c r="D26" s="6" t="n">
        <v>0.0128214</v>
      </c>
    </row>
    <row r="27" customFormat="false" ht="15.75" hidden="false" customHeight="true" outlineLevel="0" collapsed="false">
      <c r="A27" s="7" t="s">
        <v>10</v>
      </c>
      <c r="B27" s="8" t="s">
        <v>8</v>
      </c>
      <c r="C27" s="8" t="n">
        <v>500</v>
      </c>
      <c r="D27" s="9" t="n">
        <v>0.02371959</v>
      </c>
    </row>
    <row r="28" customFormat="false" ht="15.75" hidden="false" customHeight="true" outlineLevel="0" collapsed="false">
      <c r="A28" s="4" t="s">
        <v>10</v>
      </c>
      <c r="B28" s="5" t="s">
        <v>7</v>
      </c>
      <c r="C28" s="5" t="n">
        <v>1000</v>
      </c>
      <c r="D28" s="6" t="n">
        <v>0.0226112</v>
      </c>
    </row>
    <row r="29" customFormat="false" ht="15.75" hidden="false" customHeight="true" outlineLevel="0" collapsed="false">
      <c r="A29" s="7" t="s">
        <v>10</v>
      </c>
      <c r="B29" s="8" t="s">
        <v>8</v>
      </c>
      <c r="C29" s="8" t="n">
        <v>1000</v>
      </c>
      <c r="D29" s="9" t="n">
        <v>0.04183072</v>
      </c>
    </row>
    <row r="30" customFormat="false" ht="15.75" hidden="false" customHeight="true" outlineLevel="0" collapsed="false">
      <c r="A30" s="4" t="s">
        <v>10</v>
      </c>
      <c r="B30" s="5" t="s">
        <v>7</v>
      </c>
      <c r="C30" s="5" t="n">
        <v>5000</v>
      </c>
      <c r="D30" s="6" t="n">
        <v>0.119857</v>
      </c>
    </row>
    <row r="31" customFormat="false" ht="15.75" hidden="false" customHeight="true" outlineLevel="0" collapsed="false">
      <c r="A31" s="7" t="s">
        <v>10</v>
      </c>
      <c r="B31" s="8" t="s">
        <v>8</v>
      </c>
      <c r="C31" s="8" t="n">
        <v>5000</v>
      </c>
      <c r="D31" s="9" t="n">
        <v>0.22173545</v>
      </c>
    </row>
    <row r="32" customFormat="false" ht="15.75" hidden="false" customHeight="true" outlineLevel="0" collapsed="false">
      <c r="A32" s="4" t="s">
        <v>10</v>
      </c>
      <c r="B32" s="5" t="s">
        <v>7</v>
      </c>
      <c r="C32" s="5" t="n">
        <v>10000</v>
      </c>
      <c r="D32" s="6" t="n">
        <v>0.2392636</v>
      </c>
    </row>
    <row r="33" customFormat="false" ht="15.75" hidden="false" customHeight="true" outlineLevel="0" collapsed="false">
      <c r="A33" s="7" t="s">
        <v>10</v>
      </c>
      <c r="B33" s="8" t="s">
        <v>8</v>
      </c>
      <c r="C33" s="8" t="n">
        <v>10000</v>
      </c>
      <c r="D33" s="9" t="n">
        <v>0.44263766</v>
      </c>
    </row>
    <row r="34" customFormat="false" ht="15.75" hidden="false" customHeight="true" outlineLevel="0" collapsed="false">
      <c r="A34" s="4" t="s">
        <v>11</v>
      </c>
      <c r="B34" s="5" t="s">
        <v>7</v>
      </c>
      <c r="C34" s="5" t="n">
        <v>100</v>
      </c>
      <c r="D34" s="6" t="n">
        <v>0.2063714</v>
      </c>
    </row>
    <row r="35" customFormat="false" ht="15.75" hidden="false" customHeight="true" outlineLevel="0" collapsed="false">
      <c r="A35" s="7" t="s">
        <v>11</v>
      </c>
      <c r="B35" s="8" t="s">
        <v>8</v>
      </c>
      <c r="C35" s="8" t="n">
        <v>100</v>
      </c>
      <c r="D35" s="9" t="n">
        <v>0.23732711</v>
      </c>
    </row>
    <row r="36" customFormat="false" ht="15.75" hidden="false" customHeight="true" outlineLevel="0" collapsed="false">
      <c r="A36" s="4" t="s">
        <v>11</v>
      </c>
      <c r="B36" s="5" t="s">
        <v>7</v>
      </c>
      <c r="C36" s="5" t="n">
        <v>500</v>
      </c>
      <c r="D36" s="6" t="n">
        <v>6.182889</v>
      </c>
    </row>
    <row r="37" customFormat="false" ht="15.75" hidden="false" customHeight="true" outlineLevel="0" collapsed="false">
      <c r="A37" s="7" t="s">
        <v>11</v>
      </c>
      <c r="B37" s="8" t="s">
        <v>8</v>
      </c>
      <c r="C37" s="8" t="n">
        <v>500</v>
      </c>
      <c r="D37" s="9" t="n">
        <v>7.11032235</v>
      </c>
    </row>
    <row r="38" customFormat="false" ht="15.75" hidden="false" customHeight="true" outlineLevel="0" collapsed="false">
      <c r="A38" s="4" t="s">
        <v>11</v>
      </c>
      <c r="B38" s="5" t="s">
        <v>7</v>
      </c>
      <c r="C38" s="5" t="n">
        <v>1000</v>
      </c>
      <c r="D38" s="6" t="n">
        <v>32.5784216</v>
      </c>
    </row>
    <row r="39" customFormat="false" ht="15.75" hidden="false" customHeight="true" outlineLevel="0" collapsed="false">
      <c r="A39" s="7" t="s">
        <v>11</v>
      </c>
      <c r="B39" s="8" t="s">
        <v>8</v>
      </c>
      <c r="C39" s="8" t="n">
        <v>1000</v>
      </c>
      <c r="D39" s="9" t="n">
        <v>37.46518484</v>
      </c>
    </row>
    <row r="40" customFormat="false" ht="15.75" hidden="false" customHeight="true" outlineLevel="0" collapsed="false">
      <c r="A40" s="4" t="s">
        <v>11</v>
      </c>
      <c r="B40" s="5" t="s">
        <v>7</v>
      </c>
      <c r="C40" s="5" t="n">
        <v>5000</v>
      </c>
      <c r="D40" s="6" t="n">
        <v>854.5909968</v>
      </c>
    </row>
    <row r="41" customFormat="false" ht="15.75" hidden="false" customHeight="true" outlineLevel="0" collapsed="false">
      <c r="A41" s="7" t="s">
        <v>11</v>
      </c>
      <c r="B41" s="8" t="s">
        <v>8</v>
      </c>
      <c r="C41" s="8" t="n">
        <v>5000</v>
      </c>
      <c r="D41" s="9" t="n">
        <v>982.77964632</v>
      </c>
    </row>
    <row r="42" customFormat="false" ht="15.75" hidden="false" customHeight="true" outlineLevel="0" collapsed="false">
      <c r="A42" s="4" t="s">
        <v>11</v>
      </c>
      <c r="B42" s="5" t="s">
        <v>7</v>
      </c>
      <c r="C42" s="5" t="n">
        <v>10000</v>
      </c>
      <c r="D42" s="6" t="n">
        <v>3511.5184212</v>
      </c>
    </row>
    <row r="43" customFormat="false" ht="15.75" hidden="false" customHeight="true" outlineLevel="0" collapsed="false">
      <c r="A43" s="7" t="s">
        <v>11</v>
      </c>
      <c r="B43" s="8" t="s">
        <v>8</v>
      </c>
      <c r="C43" s="8" t="n">
        <v>10000</v>
      </c>
      <c r="D43" s="9" t="n">
        <v>4038.24618438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20"/>
  </cols>
  <sheetData>
    <row r="1" customFormat="false" ht="31.5" hidden="false" customHeight="true" outlineLevel="0" collapsed="false">
      <c r="A1" s="1" t="s">
        <v>12</v>
      </c>
      <c r="B1" s="1"/>
      <c r="C1" s="1"/>
      <c r="D1" s="1"/>
      <c r="E1" s="1"/>
      <c r="F1" s="1"/>
    </row>
    <row r="3" customFormat="false" ht="21.75" hidden="false" customHeight="true" outlineLevel="0" collapsed="false">
      <c r="A3" s="10" t="s">
        <v>13</v>
      </c>
      <c r="B3" s="10"/>
      <c r="C3" s="10"/>
      <c r="D3" s="10"/>
      <c r="E3" s="10"/>
      <c r="F3" s="10"/>
    </row>
    <row r="4" customFormat="false" ht="18" hidden="false" customHeight="true" outlineLevel="0" collapsed="false">
      <c r="A4" s="11" t="s">
        <v>4</v>
      </c>
      <c r="B4" s="11" t="s">
        <v>14</v>
      </c>
      <c r="C4" s="11" t="s">
        <v>15</v>
      </c>
      <c r="D4" s="11" t="s">
        <v>16</v>
      </c>
      <c r="E4" s="11" t="s">
        <v>17</v>
      </c>
      <c r="F4" s="11" t="s">
        <v>18</v>
      </c>
    </row>
    <row r="5" customFormat="false" ht="15.75" hidden="false" customHeight="true" outlineLevel="0" collapsed="false">
      <c r="A5" s="5" t="n">
        <v>5</v>
      </c>
      <c r="B5" s="12" t="n">
        <v>0.0008528</v>
      </c>
      <c r="C5" s="12" t="n">
        <v>0.000571</v>
      </c>
      <c r="D5" s="12" t="n">
        <f aca="false">C5-B5</f>
        <v>-0.0002818</v>
      </c>
      <c r="E5" s="13" t="n">
        <f aca="false">IF(B5=0,"N/A",C5/B5)</f>
        <v>0.669559099437148</v>
      </c>
      <c r="F5" s="14" t="str">
        <f aca="false">IF(B5&lt;C5,"Iterativo","Recursivo")</f>
        <v>Recursivo</v>
      </c>
    </row>
    <row r="6" customFormat="false" ht="15.75" hidden="false" customHeight="true" outlineLevel="0" collapsed="false">
      <c r="A6" s="8" t="n">
        <v>10</v>
      </c>
      <c r="B6" s="15" t="n">
        <v>0.0004816</v>
      </c>
      <c r="C6" s="15" t="n">
        <v>0.0006066</v>
      </c>
      <c r="D6" s="15" t="n">
        <f aca="false">C6-B6</f>
        <v>0.000125</v>
      </c>
      <c r="E6" s="16" t="n">
        <f aca="false">IF(B6=0,"N/A",C6/B6)</f>
        <v>1.25955149501661</v>
      </c>
      <c r="F6" s="17" t="str">
        <f aca="false">IF(B6&lt;C6,"Iterativo","Recursivo")</f>
        <v>Iterativo</v>
      </c>
    </row>
    <row r="7" customFormat="false" ht="15.75" hidden="false" customHeight="true" outlineLevel="0" collapsed="false">
      <c r="A7" s="5" t="n">
        <v>15</v>
      </c>
      <c r="B7" s="12" t="n">
        <v>0.0006132</v>
      </c>
      <c r="C7" s="12" t="n">
        <v>0.0007422</v>
      </c>
      <c r="D7" s="12" t="n">
        <f aca="false">C7-B7</f>
        <v>0.000129</v>
      </c>
      <c r="E7" s="13" t="n">
        <f aca="false">IF(B7=0,"N/A",C7/B7)</f>
        <v>1.21037181996086</v>
      </c>
      <c r="F7" s="14" t="str">
        <f aca="false">IF(B7&lt;C7,"Iterativo","Recursivo")</f>
        <v>Iterativo</v>
      </c>
    </row>
    <row r="8" customFormat="false" ht="15.75" hidden="false" customHeight="true" outlineLevel="0" collapsed="false">
      <c r="A8" s="8" t="n">
        <v>20</v>
      </c>
      <c r="B8" s="15" t="n">
        <v>0.0007574</v>
      </c>
      <c r="C8" s="15" t="n">
        <v>0.001086</v>
      </c>
      <c r="D8" s="15" t="n">
        <f aca="false">C8-B8</f>
        <v>0.0003286</v>
      </c>
      <c r="E8" s="16" t="n">
        <f aca="false">IF(B8=0,"N/A",C8/B8)</f>
        <v>1.43385265381569</v>
      </c>
      <c r="F8" s="17" t="str">
        <f aca="false">IF(B8&lt;C8,"Iterativo","Recursivo")</f>
        <v>Iterativo</v>
      </c>
    </row>
    <row r="11" customFormat="false" ht="21.75" hidden="false" customHeight="true" outlineLevel="0" collapsed="false">
      <c r="A11" s="10" t="s">
        <v>19</v>
      </c>
      <c r="B11" s="10"/>
      <c r="C11" s="10"/>
      <c r="D11" s="10"/>
      <c r="E11" s="10"/>
      <c r="F11" s="10"/>
    </row>
    <row r="12" customFormat="false" ht="18" hidden="false" customHeight="true" outlineLevel="0" collapsed="false">
      <c r="A12" s="11" t="s">
        <v>4</v>
      </c>
      <c r="B12" s="11" t="s">
        <v>14</v>
      </c>
      <c r="C12" s="11" t="s">
        <v>15</v>
      </c>
      <c r="D12" s="11" t="s">
        <v>16</v>
      </c>
      <c r="E12" s="11" t="s">
        <v>17</v>
      </c>
      <c r="F12" s="11" t="s">
        <v>18</v>
      </c>
    </row>
    <row r="13" customFormat="false" ht="15.75" hidden="false" customHeight="true" outlineLevel="0" collapsed="false">
      <c r="A13" s="5" t="n">
        <v>5</v>
      </c>
      <c r="B13" s="12" t="n">
        <v>0.000644</v>
      </c>
      <c r="C13" s="12" t="n">
        <v>0.0008186</v>
      </c>
      <c r="D13" s="12" t="n">
        <f aca="false">C13-B13</f>
        <v>0.0001746</v>
      </c>
      <c r="E13" s="13" t="n">
        <f aca="false">IF(B13=0,"N/A",C13/B13)</f>
        <v>1.27111801242236</v>
      </c>
      <c r="F13" s="14" t="str">
        <f aca="false">IF(B13&lt;C13,"Iterativo","Recursivo")</f>
        <v>Iterativo</v>
      </c>
    </row>
    <row r="14" customFormat="false" ht="15.75" hidden="false" customHeight="true" outlineLevel="0" collapsed="false">
      <c r="A14" s="8" t="n">
        <v>10</v>
      </c>
      <c r="B14" s="15" t="n">
        <v>0.0003356</v>
      </c>
      <c r="C14" s="15" t="n">
        <v>0.0051522</v>
      </c>
      <c r="D14" s="15" t="n">
        <f aca="false">C14-B14</f>
        <v>0.0048166</v>
      </c>
      <c r="E14" s="16" t="n">
        <f aca="false">IF(B14=0,"N/A",C14/B14)</f>
        <v>15.3522050059595</v>
      </c>
      <c r="F14" s="17" t="str">
        <f aca="false">IF(B14&lt;C14,"Iterativo","Recursivo")</f>
        <v>Iterativo</v>
      </c>
    </row>
    <row r="15" customFormat="false" ht="15.75" hidden="false" customHeight="true" outlineLevel="0" collapsed="false">
      <c r="A15" s="5" t="n">
        <v>15</v>
      </c>
      <c r="B15" s="12" t="n">
        <v>0.0005498</v>
      </c>
      <c r="C15" s="12" t="n">
        <v>0.0571674</v>
      </c>
      <c r="D15" s="12" t="n">
        <f aca="false">C15-B15</f>
        <v>0.0566176</v>
      </c>
      <c r="E15" s="13" t="n">
        <f aca="false">IF(B15=0,"N/A",C15/B15)</f>
        <v>103.978537650055</v>
      </c>
      <c r="F15" s="14" t="str">
        <f aca="false">IF(B15&lt;C15,"Iterativo","Recursivo")</f>
        <v>Iterativo</v>
      </c>
    </row>
    <row r="16" customFormat="false" ht="15.75" hidden="false" customHeight="true" outlineLevel="0" collapsed="false">
      <c r="A16" s="8" t="n">
        <v>20</v>
      </c>
      <c r="B16" s="15" t="n">
        <v>0.0006914</v>
      </c>
      <c r="C16" s="15" t="n">
        <v>0.6381486</v>
      </c>
      <c r="D16" s="15" t="n">
        <f aca="false">C16-B16</f>
        <v>0.6374572</v>
      </c>
      <c r="E16" s="16" t="n">
        <f aca="false">IF(B16=0,"N/A",C16/B16)</f>
        <v>922.980329765693</v>
      </c>
      <c r="F16" s="17" t="str">
        <f aca="false">IF(B16&lt;C16,"Iterativo","Recursivo")</f>
        <v>Iterativo</v>
      </c>
    </row>
    <row r="17" customFormat="false" ht="15.75" hidden="false" customHeight="true" outlineLevel="0" collapsed="false">
      <c r="A17" s="5" t="n">
        <v>25</v>
      </c>
      <c r="B17" s="12" t="n">
        <v>0.000872</v>
      </c>
      <c r="C17" s="12" t="n">
        <v>7.2163752</v>
      </c>
      <c r="D17" s="12" t="n">
        <f aca="false">C17-B17</f>
        <v>7.2155032</v>
      </c>
      <c r="E17" s="13" t="n">
        <f aca="false">IF(B17=0,"N/A",C17/B17)</f>
        <v>8275.65963302752</v>
      </c>
      <c r="F17" s="14" t="str">
        <f aca="false">IF(B17&lt;C17,"Iterativo","Recursivo")</f>
        <v>Iterativo</v>
      </c>
    </row>
    <row r="18" customFormat="false" ht="15.75" hidden="false" customHeight="true" outlineLevel="0" collapsed="false">
      <c r="A18" s="8" t="n">
        <v>30</v>
      </c>
      <c r="B18" s="15" t="n">
        <v>0.001086</v>
      </c>
      <c r="C18" s="15" t="n">
        <v>86.406799</v>
      </c>
      <c r="D18" s="15" t="n">
        <f aca="false">C18-B18</f>
        <v>86.405713</v>
      </c>
      <c r="E18" s="16" t="n">
        <f aca="false">IF(B18=0,"N/A",C18/B18)</f>
        <v>79564.2716390424</v>
      </c>
      <c r="F18" s="17" t="str">
        <f aca="false">IF(B18&lt;C18,"Iterativo","Recursivo")</f>
        <v>Iterativo</v>
      </c>
    </row>
    <row r="21" customFormat="false" ht="21.75" hidden="false" customHeight="true" outlineLevel="0" collapsed="false">
      <c r="A21" s="10" t="s">
        <v>20</v>
      </c>
      <c r="B21" s="10"/>
      <c r="C21" s="10"/>
      <c r="D21" s="10"/>
      <c r="E21" s="10"/>
      <c r="F21" s="10"/>
    </row>
    <row r="22" customFormat="false" ht="18" hidden="false" customHeight="true" outlineLevel="0" collapsed="false">
      <c r="A22" s="11" t="s">
        <v>4</v>
      </c>
      <c r="B22" s="11" t="s">
        <v>14</v>
      </c>
      <c r="C22" s="11" t="s">
        <v>15</v>
      </c>
      <c r="D22" s="11" t="s">
        <v>16</v>
      </c>
      <c r="E22" s="11" t="s">
        <v>17</v>
      </c>
      <c r="F22" s="11" t="s">
        <v>18</v>
      </c>
    </row>
    <row r="23" customFormat="false" ht="15.75" hidden="false" customHeight="true" outlineLevel="0" collapsed="false">
      <c r="A23" s="5" t="n">
        <v>100</v>
      </c>
      <c r="B23" s="12" t="n">
        <v>0.0035474</v>
      </c>
      <c r="C23" s="12" t="n">
        <v>0.00656269</v>
      </c>
      <c r="D23" s="12" t="n">
        <f aca="false">C23-B23</f>
        <v>0.00301529</v>
      </c>
      <c r="E23" s="13" t="n">
        <f aca="false">IF(B23=0,"N/A",C23/B23)</f>
        <v>1.85</v>
      </c>
      <c r="F23" s="14" t="str">
        <f aca="false">IF(B23&lt;C23,"Iterativo","Recursivo")</f>
        <v>Iterativo</v>
      </c>
    </row>
    <row r="24" customFormat="false" ht="15.75" hidden="false" customHeight="true" outlineLevel="0" collapsed="false">
      <c r="A24" s="8" t="n">
        <v>500</v>
      </c>
      <c r="B24" s="15" t="n">
        <v>0.0128214</v>
      </c>
      <c r="C24" s="15" t="n">
        <v>0.02371959</v>
      </c>
      <c r="D24" s="15" t="n">
        <f aca="false">C24-B24</f>
        <v>0.01089819</v>
      </c>
      <c r="E24" s="16" t="n">
        <f aca="false">IF(B24=0,"N/A",C24/B24)</f>
        <v>1.85</v>
      </c>
      <c r="F24" s="17" t="str">
        <f aca="false">IF(B24&lt;C24,"Iterativo","Recursivo")</f>
        <v>Iterativo</v>
      </c>
    </row>
    <row r="25" customFormat="false" ht="15.75" hidden="false" customHeight="true" outlineLevel="0" collapsed="false">
      <c r="A25" s="5" t="n">
        <v>1000</v>
      </c>
      <c r="B25" s="12" t="n">
        <v>0.0226112</v>
      </c>
      <c r="C25" s="12" t="n">
        <v>0.04183072</v>
      </c>
      <c r="D25" s="12" t="n">
        <f aca="false">C25-B25</f>
        <v>0.01921952</v>
      </c>
      <c r="E25" s="13" t="n">
        <f aca="false">IF(B25=0,"N/A",C25/B25)</f>
        <v>1.85</v>
      </c>
      <c r="F25" s="14" t="str">
        <f aca="false">IF(B25&lt;C25,"Iterativo","Recursivo")</f>
        <v>Iterativo</v>
      </c>
    </row>
    <row r="26" customFormat="false" ht="15.75" hidden="false" customHeight="true" outlineLevel="0" collapsed="false">
      <c r="A26" s="8" t="n">
        <v>5000</v>
      </c>
      <c r="B26" s="15" t="n">
        <v>0.119857</v>
      </c>
      <c r="C26" s="15" t="n">
        <v>0.22173545</v>
      </c>
      <c r="D26" s="15" t="n">
        <f aca="false">C26-B26</f>
        <v>0.10187845</v>
      </c>
      <c r="E26" s="16" t="n">
        <f aca="false">IF(B26=0,"N/A",C26/B26)</f>
        <v>1.85</v>
      </c>
      <c r="F26" s="17" t="str">
        <f aca="false">IF(B26&lt;C26,"Iterativo","Recursivo")</f>
        <v>Iterativo</v>
      </c>
    </row>
    <row r="27" customFormat="false" ht="15.75" hidden="false" customHeight="true" outlineLevel="0" collapsed="false">
      <c r="A27" s="5" t="n">
        <v>10000</v>
      </c>
      <c r="B27" s="12" t="n">
        <v>0.2392636</v>
      </c>
      <c r="C27" s="12" t="n">
        <v>0.44263766</v>
      </c>
      <c r="D27" s="12" t="n">
        <f aca="false">C27-B27</f>
        <v>0.20337406</v>
      </c>
      <c r="E27" s="13" t="n">
        <f aca="false">IF(B27=0,"N/A",C27/B27)</f>
        <v>1.85</v>
      </c>
      <c r="F27" s="14" t="str">
        <f aca="false">IF(B27&lt;C27,"Iterativo","Recursivo")</f>
        <v>Iterativo</v>
      </c>
    </row>
    <row r="30" customFormat="false" ht="21.75" hidden="false" customHeight="true" outlineLevel="0" collapsed="false">
      <c r="A30" s="10" t="s">
        <v>21</v>
      </c>
      <c r="B30" s="10"/>
      <c r="C30" s="10"/>
      <c r="D30" s="10"/>
      <c r="E30" s="10"/>
      <c r="F30" s="10"/>
    </row>
    <row r="31" customFormat="false" ht="18" hidden="false" customHeight="true" outlineLevel="0" collapsed="false">
      <c r="A31" s="11" t="s">
        <v>4</v>
      </c>
      <c r="B31" s="11" t="s">
        <v>14</v>
      </c>
      <c r="C31" s="11" t="s">
        <v>15</v>
      </c>
      <c r="D31" s="11" t="s">
        <v>16</v>
      </c>
      <c r="E31" s="11" t="s">
        <v>17</v>
      </c>
      <c r="F31" s="11" t="s">
        <v>18</v>
      </c>
    </row>
    <row r="32" customFormat="false" ht="15.75" hidden="false" customHeight="true" outlineLevel="0" collapsed="false">
      <c r="A32" s="5" t="n">
        <v>100</v>
      </c>
      <c r="B32" s="12" t="n">
        <v>0.2063714</v>
      </c>
      <c r="C32" s="12" t="n">
        <v>0.23732711</v>
      </c>
      <c r="D32" s="12" t="n">
        <f aca="false">C32-B32</f>
        <v>0.03095571</v>
      </c>
      <c r="E32" s="13" t="n">
        <f aca="false">IF(B32=0,"N/A",C32/B32)</f>
        <v>1.15</v>
      </c>
      <c r="F32" s="14" t="str">
        <f aca="false">IF(B32&lt;C32,"Iterativo","Recursivo")</f>
        <v>Iterativo</v>
      </c>
    </row>
    <row r="33" customFormat="false" ht="15.75" hidden="false" customHeight="true" outlineLevel="0" collapsed="false">
      <c r="A33" s="8" t="n">
        <v>500</v>
      </c>
      <c r="B33" s="15" t="n">
        <v>6.182889</v>
      </c>
      <c r="C33" s="15" t="n">
        <v>7.11032235</v>
      </c>
      <c r="D33" s="15" t="n">
        <f aca="false">C33-B33</f>
        <v>0.927433349999999</v>
      </c>
      <c r="E33" s="16" t="n">
        <f aca="false">IF(B33=0,"N/A",C33/B33)</f>
        <v>1.15</v>
      </c>
      <c r="F33" s="17" t="str">
        <f aca="false">IF(B33&lt;C33,"Iterativo","Recursivo")</f>
        <v>Iterativo</v>
      </c>
    </row>
    <row r="34" customFormat="false" ht="15.75" hidden="false" customHeight="true" outlineLevel="0" collapsed="false">
      <c r="A34" s="5" t="n">
        <v>1000</v>
      </c>
      <c r="B34" s="12" t="n">
        <v>32.5784216</v>
      </c>
      <c r="C34" s="12" t="n">
        <v>37.46518484</v>
      </c>
      <c r="D34" s="12" t="n">
        <f aca="false">C34-B34</f>
        <v>4.88676324</v>
      </c>
      <c r="E34" s="13" t="n">
        <f aca="false">IF(B34=0,"N/A",C34/B34)</f>
        <v>1.15</v>
      </c>
      <c r="F34" s="14" t="str">
        <f aca="false">IF(B34&lt;C34,"Iterativo","Recursivo")</f>
        <v>Iterativo</v>
      </c>
    </row>
    <row r="35" customFormat="false" ht="15.75" hidden="false" customHeight="true" outlineLevel="0" collapsed="false">
      <c r="A35" s="8" t="n">
        <v>5000</v>
      </c>
      <c r="B35" s="15" t="n">
        <v>854.5909968</v>
      </c>
      <c r="C35" s="15" t="n">
        <v>982.77964632</v>
      </c>
      <c r="D35" s="15" t="n">
        <f aca="false">C35-B35</f>
        <v>128.18864952</v>
      </c>
      <c r="E35" s="16" t="n">
        <f aca="false">IF(B35=0,"N/A",C35/B35)</f>
        <v>1.15</v>
      </c>
      <c r="F35" s="17" t="str">
        <f aca="false">IF(B35&lt;C35,"Iterativo","Recursivo")</f>
        <v>Iterativo</v>
      </c>
    </row>
    <row r="36" customFormat="false" ht="15.75" hidden="false" customHeight="true" outlineLevel="0" collapsed="false">
      <c r="A36" s="5" t="n">
        <v>10000</v>
      </c>
      <c r="B36" s="12" t="n">
        <v>3511.5184212</v>
      </c>
      <c r="C36" s="12" t="n">
        <v>4038.24618438</v>
      </c>
      <c r="D36" s="12" t="n">
        <f aca="false">C36-B36</f>
        <v>526.72776318</v>
      </c>
      <c r="E36" s="13" t="n">
        <f aca="false">IF(B36=0,"N/A",C36/B36)</f>
        <v>1.15</v>
      </c>
      <c r="F36" s="14" t="str">
        <f aca="false">IF(B36&lt;C36,"Iterativo","Recursivo")</f>
        <v>Iterativo</v>
      </c>
    </row>
  </sheetData>
  <mergeCells count="5">
    <mergeCell ref="A1:F1"/>
    <mergeCell ref="A3:F3"/>
    <mergeCell ref="A11:F11"/>
    <mergeCell ref="A21:F21"/>
    <mergeCell ref="A30:F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31.5" hidden="false" customHeight="true" outlineLevel="0" collapsed="false">
      <c r="A1" s="1" t="s">
        <v>22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4" customFormat="false" ht="15" hidden="false" customHeight="false" outlineLevel="0" collapsed="false">
      <c r="T4" s="18" t="s">
        <v>4</v>
      </c>
      <c r="U4" s="19" t="s">
        <v>7</v>
      </c>
      <c r="V4" s="20" t="s">
        <v>8</v>
      </c>
    </row>
    <row r="5" customFormat="false" ht="15" hidden="false" customHeight="false" outlineLevel="0" collapsed="false">
      <c r="T5" s="0" t="n">
        <v>5</v>
      </c>
      <c r="U5" s="0" t="n">
        <v>0.0008528</v>
      </c>
      <c r="V5" s="0" t="n">
        <v>0.000571</v>
      </c>
    </row>
    <row r="6" customFormat="false" ht="15" hidden="false" customHeight="false" outlineLevel="0" collapsed="false">
      <c r="T6" s="0" t="n">
        <v>10</v>
      </c>
      <c r="U6" s="0" t="n">
        <v>0.0004816</v>
      </c>
      <c r="V6" s="0" t="n">
        <v>0.0006066</v>
      </c>
    </row>
    <row r="7" customFormat="false" ht="15" hidden="false" customHeight="false" outlineLevel="0" collapsed="false">
      <c r="T7" s="0" t="n">
        <v>15</v>
      </c>
      <c r="U7" s="0" t="n">
        <v>0.0006132</v>
      </c>
      <c r="V7" s="0" t="n">
        <v>0.0007422</v>
      </c>
    </row>
    <row r="8" customFormat="false" ht="15" hidden="false" customHeight="false" outlineLevel="0" collapsed="false">
      <c r="T8" s="0" t="n">
        <v>20</v>
      </c>
      <c r="U8" s="0" t="n">
        <v>0.0007574</v>
      </c>
      <c r="V8" s="0" t="n">
        <v>0.001086</v>
      </c>
    </row>
    <row r="12" customFormat="false" ht="15" hidden="false" customHeight="false" outlineLevel="0" collapsed="false">
      <c r="T12" s="18" t="s">
        <v>4</v>
      </c>
      <c r="U12" s="19" t="s">
        <v>7</v>
      </c>
      <c r="V12" s="20" t="s">
        <v>8</v>
      </c>
    </row>
    <row r="13" customFormat="false" ht="15" hidden="false" customHeight="false" outlineLevel="0" collapsed="false">
      <c r="T13" s="0" t="n">
        <v>5</v>
      </c>
      <c r="U13" s="0" t="n">
        <v>0.000644</v>
      </c>
      <c r="V13" s="0" t="n">
        <v>0.0008186</v>
      </c>
    </row>
    <row r="14" customFormat="false" ht="15" hidden="false" customHeight="false" outlineLevel="0" collapsed="false">
      <c r="T14" s="0" t="n">
        <v>10</v>
      </c>
      <c r="U14" s="0" t="n">
        <v>0.0003356</v>
      </c>
      <c r="V14" s="0" t="n">
        <v>0.0051522</v>
      </c>
    </row>
    <row r="15" customFormat="false" ht="15" hidden="false" customHeight="false" outlineLevel="0" collapsed="false">
      <c r="T15" s="0" t="n">
        <v>15</v>
      </c>
      <c r="U15" s="0" t="n">
        <v>0.0005498</v>
      </c>
      <c r="V15" s="0" t="n">
        <v>0.0571674</v>
      </c>
    </row>
    <row r="16" customFormat="false" ht="15" hidden="false" customHeight="false" outlineLevel="0" collapsed="false">
      <c r="T16" s="0" t="n">
        <v>20</v>
      </c>
      <c r="U16" s="0" t="n">
        <v>0.0006914</v>
      </c>
      <c r="V16" s="0" t="n">
        <v>0.6381486</v>
      </c>
    </row>
    <row r="17" customFormat="false" ht="15" hidden="false" customHeight="false" outlineLevel="0" collapsed="false">
      <c r="T17" s="0" t="n">
        <v>25</v>
      </c>
      <c r="U17" s="0" t="n">
        <v>0.000872</v>
      </c>
      <c r="V17" s="0" t="n">
        <v>7.2163752</v>
      </c>
    </row>
    <row r="18" customFormat="false" ht="15" hidden="false" customHeight="false" outlineLevel="0" collapsed="false">
      <c r="T18" s="0" t="n">
        <v>30</v>
      </c>
      <c r="U18" s="0" t="n">
        <v>0.001086</v>
      </c>
      <c r="V18" s="0" t="n">
        <v>86.406799</v>
      </c>
    </row>
    <row r="22" customFormat="false" ht="15" hidden="false" customHeight="false" outlineLevel="0" collapsed="false">
      <c r="T22" s="18" t="s">
        <v>4</v>
      </c>
      <c r="U22" s="19" t="s">
        <v>7</v>
      </c>
      <c r="V22" s="20" t="s">
        <v>8</v>
      </c>
    </row>
    <row r="23" customFormat="false" ht="15" hidden="false" customHeight="false" outlineLevel="0" collapsed="false">
      <c r="T23" s="0" t="n">
        <v>100</v>
      </c>
      <c r="U23" s="0" t="n">
        <v>0.0035474</v>
      </c>
      <c r="V23" s="0" t="n">
        <v>0.00656269</v>
      </c>
    </row>
    <row r="24" customFormat="false" ht="15" hidden="false" customHeight="false" outlineLevel="0" collapsed="false">
      <c r="T24" s="0" t="n">
        <v>500</v>
      </c>
      <c r="U24" s="0" t="n">
        <v>0.0128214</v>
      </c>
      <c r="V24" s="0" t="n">
        <v>0.02371959</v>
      </c>
    </row>
    <row r="25" customFormat="false" ht="15" hidden="false" customHeight="false" outlineLevel="0" collapsed="false">
      <c r="T25" s="0" t="n">
        <v>1000</v>
      </c>
      <c r="U25" s="0" t="n">
        <v>0.0226112</v>
      </c>
      <c r="V25" s="0" t="n">
        <v>0.04183072</v>
      </c>
    </row>
    <row r="26" customFormat="false" ht="15" hidden="false" customHeight="false" outlineLevel="0" collapsed="false">
      <c r="T26" s="0" t="n">
        <v>5000</v>
      </c>
      <c r="U26" s="0" t="n">
        <v>0.119857</v>
      </c>
      <c r="V26" s="0" t="n">
        <v>0.22173545</v>
      </c>
    </row>
    <row r="27" customFormat="false" ht="15" hidden="false" customHeight="false" outlineLevel="0" collapsed="false">
      <c r="T27" s="0" t="n">
        <v>10000</v>
      </c>
      <c r="U27" s="0" t="n">
        <v>0.2392636</v>
      </c>
      <c r="V27" s="0" t="n">
        <v>0.44263766</v>
      </c>
    </row>
    <row r="32" customFormat="false" ht="15" hidden="false" customHeight="false" outlineLevel="0" collapsed="false">
      <c r="T32" s="18" t="s">
        <v>4</v>
      </c>
      <c r="U32" s="19" t="s">
        <v>7</v>
      </c>
      <c r="V32" s="20" t="s">
        <v>8</v>
      </c>
    </row>
    <row r="33" customFormat="false" ht="15" hidden="false" customHeight="false" outlineLevel="0" collapsed="false">
      <c r="T33" s="0" t="n">
        <v>100</v>
      </c>
      <c r="U33" s="0" t="n">
        <v>0.2063714</v>
      </c>
      <c r="V33" s="0" t="n">
        <v>0.23732711</v>
      </c>
    </row>
    <row r="34" customFormat="false" ht="15" hidden="false" customHeight="false" outlineLevel="0" collapsed="false">
      <c r="T34" s="0" t="n">
        <v>500</v>
      </c>
      <c r="U34" s="0" t="n">
        <v>6.182889</v>
      </c>
      <c r="V34" s="0" t="n">
        <v>7.11032235</v>
      </c>
    </row>
    <row r="35" customFormat="false" ht="15" hidden="false" customHeight="false" outlineLevel="0" collapsed="false">
      <c r="T35" s="0" t="n">
        <v>1000</v>
      </c>
      <c r="U35" s="0" t="n">
        <v>32.5784216</v>
      </c>
      <c r="V35" s="0" t="n">
        <v>37.46518484</v>
      </c>
    </row>
    <row r="36" customFormat="false" ht="15" hidden="false" customHeight="false" outlineLevel="0" collapsed="false">
      <c r="T36" s="0" t="n">
        <v>5000</v>
      </c>
      <c r="U36" s="0" t="n">
        <v>854.5909968</v>
      </c>
      <c r="V36" s="0" t="n">
        <v>982.77964632</v>
      </c>
    </row>
    <row r="37" customFormat="false" ht="15" hidden="false" customHeight="false" outlineLevel="0" collapsed="false">
      <c r="T37" s="0" t="n">
        <v>10000</v>
      </c>
      <c r="U37" s="0" t="n">
        <v>3511.5184212</v>
      </c>
      <c r="V37" s="0" t="n">
        <v>4038.24618438</v>
      </c>
    </row>
  </sheetData>
  <mergeCells count="1">
    <mergeCell ref="A1:S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3"/>
    <col collapsed="false" customWidth="true" hidden="false" outlineLevel="0" max="4" min="3" style="0" width="16"/>
    <col collapsed="false" customWidth="true" hidden="false" outlineLevel="0" max="5" min="5" style="0" width="12"/>
    <col collapsed="false" customWidth="true" hidden="false" outlineLevel="0" max="6" min="6" style="0" width="48"/>
  </cols>
  <sheetData>
    <row r="1" customFormat="false" ht="31.5" hidden="false" customHeight="true" outlineLevel="0" collapsed="false">
      <c r="A1" s="1" t="s">
        <v>23</v>
      </c>
      <c r="B1" s="1"/>
      <c r="C1" s="1"/>
      <c r="D1" s="1"/>
      <c r="E1" s="1"/>
      <c r="F1" s="1"/>
    </row>
    <row r="2" customFormat="false" ht="15.75" hidden="false" customHeight="true" outlineLevel="0" collapsed="false">
      <c r="A2" s="2" t="s">
        <v>24</v>
      </c>
      <c r="B2" s="2"/>
      <c r="C2" s="2"/>
      <c r="D2" s="2"/>
      <c r="E2" s="2"/>
      <c r="F2" s="2"/>
    </row>
    <row r="3" customFormat="false" ht="19.5" hidden="false" customHeight="true" outlineLevel="0" collapsed="false">
      <c r="A3" s="3" t="s">
        <v>2</v>
      </c>
      <c r="B3" s="3" t="s">
        <v>3</v>
      </c>
      <c r="C3" s="3" t="s">
        <v>25</v>
      </c>
      <c r="D3" s="3" t="s">
        <v>26</v>
      </c>
      <c r="E3" s="3" t="s">
        <v>27</v>
      </c>
      <c r="F3" s="3" t="s">
        <v>28</v>
      </c>
    </row>
    <row r="4" customFormat="false" ht="18" hidden="false" customHeight="true" outlineLevel="0" collapsed="false">
      <c r="A4" s="4" t="s">
        <v>29</v>
      </c>
      <c r="B4" s="5" t="s">
        <v>7</v>
      </c>
      <c r="C4" s="5" t="s">
        <v>30</v>
      </c>
      <c r="D4" s="5" t="s">
        <v>30</v>
      </c>
      <c r="E4" s="21" t="s">
        <v>31</v>
      </c>
      <c r="F4" s="4" t="s">
        <v>32</v>
      </c>
    </row>
    <row r="5" customFormat="false" ht="18" hidden="false" customHeight="true" outlineLevel="0" collapsed="false">
      <c r="A5" s="7" t="s">
        <v>29</v>
      </c>
      <c r="B5" s="8" t="s">
        <v>8</v>
      </c>
      <c r="C5" s="8" t="s">
        <v>30</v>
      </c>
      <c r="D5" s="8" t="s">
        <v>30</v>
      </c>
      <c r="E5" s="22" t="s">
        <v>31</v>
      </c>
      <c r="F5" s="7" t="s">
        <v>33</v>
      </c>
    </row>
    <row r="6" customFormat="false" ht="18" hidden="false" customHeight="true" outlineLevel="0" collapsed="false">
      <c r="A6" s="4" t="s">
        <v>34</v>
      </c>
      <c r="B6" s="5" t="s">
        <v>7</v>
      </c>
      <c r="C6" s="5" t="s">
        <v>30</v>
      </c>
      <c r="D6" s="5" t="s">
        <v>30</v>
      </c>
      <c r="E6" s="21" t="s">
        <v>31</v>
      </c>
      <c r="F6" s="4" t="s">
        <v>35</v>
      </c>
    </row>
    <row r="7" customFormat="false" ht="18" hidden="false" customHeight="true" outlineLevel="0" collapsed="false">
      <c r="A7" s="7" t="s">
        <v>34</v>
      </c>
      <c r="B7" s="8" t="s">
        <v>8</v>
      </c>
      <c r="C7" s="8" t="s">
        <v>36</v>
      </c>
      <c r="D7" s="8" t="s">
        <v>36</v>
      </c>
      <c r="E7" s="22" t="s">
        <v>31</v>
      </c>
      <c r="F7" s="7" t="s">
        <v>37</v>
      </c>
    </row>
    <row r="8" customFormat="false" ht="18" hidden="false" customHeight="true" outlineLevel="0" collapsed="false">
      <c r="A8" s="4" t="s">
        <v>38</v>
      </c>
      <c r="B8" s="5" t="s">
        <v>7</v>
      </c>
      <c r="C8" s="5" t="s">
        <v>30</v>
      </c>
      <c r="D8" s="5" t="s">
        <v>30</v>
      </c>
      <c r="E8" s="21" t="s">
        <v>31</v>
      </c>
      <c r="F8" s="4" t="s">
        <v>39</v>
      </c>
    </row>
    <row r="9" customFormat="false" ht="18" hidden="false" customHeight="true" outlineLevel="0" collapsed="false">
      <c r="A9" s="7" t="s">
        <v>38</v>
      </c>
      <c r="B9" s="8" t="s">
        <v>8</v>
      </c>
      <c r="C9" s="8" t="s">
        <v>30</v>
      </c>
      <c r="D9" s="8" t="s">
        <v>30</v>
      </c>
      <c r="E9" s="22" t="s">
        <v>31</v>
      </c>
      <c r="F9" s="7" t="s">
        <v>40</v>
      </c>
    </row>
    <row r="10" customFormat="false" ht="18" hidden="false" customHeight="true" outlineLevel="0" collapsed="false">
      <c r="A10" s="4" t="s">
        <v>41</v>
      </c>
      <c r="B10" s="5" t="s">
        <v>7</v>
      </c>
      <c r="C10" s="5" t="s">
        <v>42</v>
      </c>
      <c r="D10" s="5" t="s">
        <v>42</v>
      </c>
      <c r="E10" s="21" t="s">
        <v>31</v>
      </c>
      <c r="F10" s="4" t="s">
        <v>43</v>
      </c>
    </row>
    <row r="11" customFormat="false" ht="18" hidden="false" customHeight="true" outlineLevel="0" collapsed="false">
      <c r="A11" s="7" t="s">
        <v>41</v>
      </c>
      <c r="B11" s="8" t="s">
        <v>8</v>
      </c>
      <c r="C11" s="8" t="s">
        <v>42</v>
      </c>
      <c r="D11" s="8" t="s">
        <v>42</v>
      </c>
      <c r="E11" s="22" t="s">
        <v>31</v>
      </c>
      <c r="F11" s="7" t="s">
        <v>44</v>
      </c>
    </row>
    <row r="13" customFormat="false" ht="9.75" hidden="false" customHeight="true" outlineLevel="0" collapsed="false"/>
    <row r="14" customFormat="false" ht="25.5" hidden="false" customHeight="true" outlineLevel="0" collapsed="false">
      <c r="A14" s="23" t="s">
        <v>45</v>
      </c>
      <c r="B14" s="23"/>
      <c r="C14" s="23"/>
      <c r="D14" s="23"/>
      <c r="E14" s="23"/>
      <c r="F14" s="23"/>
    </row>
    <row r="15" customFormat="false" ht="60" hidden="false" customHeight="true" outlineLevel="0" collapsed="false">
      <c r="A15" s="24" t="s">
        <v>46</v>
      </c>
      <c r="B15" s="25" t="s">
        <v>47</v>
      </c>
      <c r="C15" s="25"/>
      <c r="D15" s="26" t="s">
        <v>48</v>
      </c>
      <c r="E15" s="26"/>
      <c r="F15" s="26"/>
    </row>
    <row r="16" customFormat="false" ht="60" hidden="false" customHeight="true" outlineLevel="0" collapsed="false">
      <c r="A16" s="27" t="s">
        <v>49</v>
      </c>
      <c r="B16" s="28" t="s">
        <v>50</v>
      </c>
      <c r="C16" s="28"/>
      <c r="D16" s="29" t="s">
        <v>51</v>
      </c>
      <c r="E16" s="29"/>
      <c r="F16" s="29"/>
    </row>
    <row r="17" customFormat="false" ht="60" hidden="false" customHeight="true" outlineLevel="0" collapsed="false">
      <c r="A17" s="24" t="s">
        <v>52</v>
      </c>
      <c r="B17" s="25" t="s">
        <v>53</v>
      </c>
      <c r="C17" s="25"/>
      <c r="D17" s="26" t="s">
        <v>54</v>
      </c>
      <c r="E17" s="26"/>
      <c r="F17" s="26"/>
    </row>
    <row r="18" customFormat="false" ht="60" hidden="false" customHeight="true" outlineLevel="0" collapsed="false">
      <c r="A18" s="27" t="s">
        <v>55</v>
      </c>
      <c r="B18" s="28" t="s">
        <v>56</v>
      </c>
      <c r="C18" s="28"/>
      <c r="D18" s="29" t="s">
        <v>57</v>
      </c>
      <c r="E18" s="29"/>
      <c r="F18" s="29"/>
    </row>
    <row r="19" customFormat="false" ht="60" hidden="false" customHeight="true" outlineLevel="0" collapsed="false">
      <c r="A19" s="24" t="s">
        <v>58</v>
      </c>
      <c r="B19" s="25" t="s">
        <v>59</v>
      </c>
      <c r="C19" s="25"/>
      <c r="D19" s="26" t="s">
        <v>60</v>
      </c>
      <c r="E19" s="26"/>
      <c r="F19" s="26"/>
    </row>
  </sheetData>
  <mergeCells count="13">
    <mergeCell ref="A1:F1"/>
    <mergeCell ref="A2:F2"/>
    <mergeCell ref="A14:F14"/>
    <mergeCell ref="B15:C15"/>
    <mergeCell ref="D15:F15"/>
    <mergeCell ref="B16:C16"/>
    <mergeCell ref="D16:F16"/>
    <mergeCell ref="B17:C17"/>
    <mergeCell ref="D17:F17"/>
    <mergeCell ref="B18:C18"/>
    <mergeCell ref="D18:F18"/>
    <mergeCell ref="B19:C19"/>
    <mergeCell ref="D19:F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2026-03-03T20:37:07Z</dcterms:created>
  <dc:creator>openpyxl</dc:creator>
  <dc:description/>
  <dc:language>en-US</dc:language>
  <cp:lastModifiedBy/>
  <dcterms:modified xsi:type="dcterms:W3CDTF">2026-03-03T20:37:17Z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